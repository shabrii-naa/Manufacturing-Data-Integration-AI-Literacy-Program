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H\Semester 4\Proyek Konsultasi\"/>
    </mc:Choice>
  </mc:AlternateContent>
  <xr:revisionPtr revIDLastSave="0" documentId="8_{7FEE914D-380A-4F1A-BE2C-AABB07A33F00}" xr6:coauthVersionLast="47" xr6:coauthVersionMax="47" xr10:uidLastSave="{00000000-0000-0000-0000-000000000000}"/>
  <bookViews>
    <workbookView xWindow="-120" yWindow="-120" windowWidth="20730" windowHeight="11040" activeTab="2" xr2:uid="{B46BE214-DEE4-42CE-AC85-525F62F62D77}"/>
  </bookViews>
  <sheets>
    <sheet name="Advice" sheetId="1" r:id="rId1"/>
    <sheet name="Mock_Forecast" sheetId="2" r:id="rId2"/>
    <sheet name="Procurement_Order" sheetId="3" r:id="rId3"/>
    <sheet name="ETA_Material" sheetId="4" r:id="rId4"/>
    <sheet name="BoM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D8" i="1" l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G3" i="1" l="1"/>
  <c r="F3" i="1"/>
  <c r="E3" i="1"/>
  <c r="G4" i="1"/>
  <c r="F4" i="1"/>
  <c r="E4" i="1"/>
  <c r="G5" i="1"/>
  <c r="F5" i="1"/>
  <c r="E5" i="1"/>
  <c r="G6" i="1"/>
  <c r="F6" i="1"/>
  <c r="E6" i="1"/>
  <c r="G7" i="1"/>
  <c r="F7" i="1"/>
  <c r="E7" i="1"/>
  <c r="G8" i="1"/>
  <c r="F8" i="1"/>
  <c r="E8" i="1"/>
</calcChain>
</file>

<file path=xl/sharedStrings.xml><?xml version="1.0" encoding="utf-8"?>
<sst xmlns="http://schemas.openxmlformats.org/spreadsheetml/2006/main" count="331" uniqueCount="131">
  <si>
    <t>Rekomendasi Pengadaan Material (Periode Jan–Mar 2026)</t>
  </si>
  <si>
    <t>Item Code</t>
  </si>
  <si>
    <t>Bulan</t>
  </si>
  <si>
    <t>Balance</t>
  </si>
  <si>
    <t>Stock Ratio</t>
  </si>
  <si>
    <t>Status</t>
  </si>
  <si>
    <t>Masalah</t>
  </si>
  <si>
    <t>Rekomendasi</t>
  </si>
  <si>
    <t>Material_Code</t>
  </si>
  <si>
    <t>Material_Name</t>
  </si>
  <si>
    <t>Forecast_Qty</t>
  </si>
  <si>
    <t>Period</t>
  </si>
  <si>
    <t>BUSHING</t>
  </si>
  <si>
    <t>MEMBER,CROSS</t>
  </si>
  <si>
    <t>PIPE</t>
  </si>
  <si>
    <t>BAR</t>
  </si>
  <si>
    <t>PIPE,LH</t>
  </si>
  <si>
    <t>PIPE,RH</t>
  </si>
  <si>
    <t>PLATE</t>
  </si>
  <si>
    <t>HS CODE</t>
  </si>
  <si>
    <t>MATERIAL NAME</t>
  </si>
  <si>
    <t>PART NO</t>
  </si>
  <si>
    <t>SPEC</t>
  </si>
  <si>
    <t>OD</t>
  </si>
  <si>
    <t>ID</t>
  </si>
  <si>
    <t>T</t>
  </si>
  <si>
    <t>L</t>
  </si>
  <si>
    <t>WIGHT
KGS / BTG</t>
  </si>
  <si>
    <t>CUSTOMER</t>
  </si>
  <si>
    <t>STEEL MAKER</t>
  </si>
  <si>
    <t>WELDED STEEL PIPE</t>
  </si>
  <si>
    <t>SGP</t>
  </si>
  <si>
    <t>ROUND BAR</t>
  </si>
  <si>
    <t>-</t>
  </si>
  <si>
    <t>CARBON STEEL TUBE</t>
  </si>
  <si>
    <t>SEAMLESS PIPE &amp; TUBE</t>
  </si>
  <si>
    <t>ETD</t>
  </si>
  <si>
    <t>ETA Jakarta</t>
  </si>
  <si>
    <t>Actual ETA FTPI</t>
  </si>
  <si>
    <t>Qty 
(Pcs)</t>
  </si>
  <si>
    <t>Round Bar</t>
  </si>
  <si>
    <t>Welded Steel Tube</t>
  </si>
  <si>
    <t>Seamless Pipes &amp; Tubes</t>
  </si>
  <si>
    <t>Carbon Steel Tube</t>
  </si>
  <si>
    <t>No</t>
  </si>
  <si>
    <t>Finish Part</t>
  </si>
  <si>
    <t>Material Part</t>
  </si>
  <si>
    <t>Qty length (mm)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</si>
  <si>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</si>
  <si>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</si>
  <si>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</si>
  <si>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</si>
  <si>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</si>
  <si>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</si>
  <si>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</si>
  <si>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Maker A</t>
  </si>
  <si>
    <t>Maker B</t>
  </si>
  <si>
    <t>Maker C</t>
  </si>
  <si>
    <t>Maker D</t>
  </si>
  <si>
    <t>Maker E</t>
  </si>
  <si>
    <t>Maker A / Maker F</t>
  </si>
  <si>
    <t>Maker F</t>
  </si>
  <si>
    <t>Maker G</t>
  </si>
  <si>
    <t/>
  </si>
  <si>
    <t>Material Code</t>
  </si>
  <si>
    <t>Material Name</t>
  </si>
  <si>
    <t>Material Type</t>
  </si>
  <si>
    <t>Weight (kg)</t>
  </si>
  <si>
    <t>Piece</t>
  </si>
  <si>
    <t>T1</t>
  </si>
  <si>
    <t>T2</t>
  </si>
  <si>
    <t>T3</t>
  </si>
  <si>
    <t>T4</t>
  </si>
  <si>
    <t>M-001</t>
  </si>
  <si>
    <t>M-002</t>
  </si>
  <si>
    <t>M-003</t>
  </si>
  <si>
    <t>M-004</t>
  </si>
  <si>
    <t>M-005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</si>
  <si>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</si>
  <si>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</si>
  <si>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</si>
  <si>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</si>
  <si>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</si>
  <si>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</si>
  <si>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</si>
  <si>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</si>
  <si>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</si>
  <si>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</si>
  <si>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</si>
  <si>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S45</t>
  </si>
  <si>
    <t>SGD</t>
  </si>
  <si>
    <t>SUJ</t>
  </si>
  <si>
    <t>SS4</t>
  </si>
  <si>
    <t>SCM</t>
  </si>
  <si>
    <t>SMT</t>
  </si>
  <si>
    <t>STK</t>
  </si>
  <si>
    <t>S35</t>
  </si>
  <si>
    <t>FG-001</t>
  </si>
  <si>
    <t>FG-002</t>
  </si>
  <si>
    <t>FG-003</t>
  </si>
  <si>
    <t>FG-004</t>
  </si>
  <si>
    <t>FG-005</t>
  </si>
  <si>
    <t>FG-006</t>
  </si>
  <si>
    <t>FG-007</t>
  </si>
  <si>
    <t>FG-008</t>
  </si>
  <si>
    <t>FG-009</t>
  </si>
  <si>
    <t>FG-010</t>
  </si>
  <si>
    <t>FG-011</t>
  </si>
  <si>
    <t>FG-012</t>
  </si>
  <si>
    <t>FG-013</t>
  </si>
  <si>
    <t>FG-014</t>
  </si>
  <si>
    <t>FG-015</t>
  </si>
  <si>
    <t>FG-016</t>
  </si>
  <si>
    <t>FG-017</t>
  </si>
  <si>
    <t>FG-018</t>
  </si>
  <si>
    <t>FG-019</t>
  </si>
  <si>
    <t>FG-020</t>
  </si>
  <si>
    <t>FG-021</t>
  </si>
  <si>
    <t>FG-022</t>
  </si>
  <si>
    <t>FG-023</t>
  </si>
  <si>
    <t>PART-01</t>
  </si>
  <si>
    <t>PART-02</t>
  </si>
  <si>
    <t>PART-03</t>
  </si>
  <si>
    <t>PART-04</t>
  </si>
  <si>
    <t>PART-05</t>
  </si>
  <si>
    <t>PART-06</t>
  </si>
  <si>
    <t>PART-07</t>
  </si>
  <si>
    <t>PART-08</t>
  </si>
  <si>
    <t>PART-09</t>
  </si>
  <si>
    <t>PART-10</t>
  </si>
  <si>
    <t>PART-11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</si>
</sst>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0" borderId="1" xfId="0" applyBorder="1"/>
    <xf numFmtId="17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17" fontId="0" fillId="0" borderId="2" xfId="0" applyNumberFormat="1" applyBorder="1"/>
    <xf numFmtId="1" fontId="0" fillId="0" borderId="2" xfId="0" applyNumberFormat="1" applyBorder="1"/>
    <xf numFmtId="0" fontId="0" fillId="0" borderId="5" xfId="0" applyBorder="1"/>
    <xf numFmtId="0" fontId="0" fillId="0" borderId="6" xfId="0" applyBorder="1"/>
    <xf numFmtId="165" fontId="0" fillId="0" borderId="6" xfId="0" applyNumberFormat="1" applyBorder="1"/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0" fillId="4" borderId="0" xfId="0" applyFill="1"/>
    <xf numFmtId="0" fontId="0" fillId="3" borderId="6" xfId="0" applyFill="1" applyBorder="1"/>
    <xf numFmtId="0" fontId="0" fillId="3" borderId="6" xfId="0" applyFill="1" applyBorder="1" applyAlignment="1">
      <alignment wrapText="1"/>
    </xf>
    <xf numFmtId="1" fontId="0" fillId="3" borderId="6" xfId="0" applyNumberFormat="1" applyFill="1" applyBorder="1"/>
    <xf numFmtId="1" fontId="0" fillId="0" borderId="6" xfId="0" applyNumberFormat="1" applyBorder="1"/>
    <xf numFmtId="0" fontId="0" fillId="0" borderId="6" xfId="0" applyNumberFormat="1" applyBorder="1"/>
    <xf numFmtId="0" fontId="2" fillId="3" borderId="6" xfId="0" applyFont="1" applyFill="1" applyBorder="1" applyAlignment="1">
      <alignment horizontal="center" vertical="top"/>
    </xf>
  </cellXfs>
  <cellStyles count="1">
    <cellStyle name="Normal" xfId="0" builtinId="0"/>
  </cellStyles>
  <dxfs count="9"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2" formatCode="mmm\-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AppData\Local\Packages\5319275A.WhatsAppDesktop_cv1g1gvanyjgm\LocalState\sessions\63528B328179AB0127C149BB5553C919CB219D49\transfers\2025-52\Stock%20Balance%20Rekomendasi.xlsx" TargetMode="External"/><Relationship Id="rId1" Type="http://schemas.openxmlformats.org/officeDocument/2006/relationships/externalLinkPath" Target="/Users/Lenovo/AppData/Local/Packages/5319275A.WhatsAppDesktop_cv1g1gvanyjgm/LocalState/sessions/63528B328179AB0127C149BB5553C919CB219D49/transfers/2025-52/Stock%20Balance%20Rekomenda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D785"/>
      <sheetName val="Canopy"/>
      <sheetName val="Collar"/>
      <sheetName val="Advice"/>
      <sheetName val="Rekomendasi Simple"/>
    </sheetNames>
    <sheetDataSet>
      <sheetData sheetId="0"/>
      <sheetData sheetId="1"/>
      <sheetData sheetId="2">
        <row r="5">
          <cell r="P5">
            <v>46023</v>
          </cell>
          <cell r="Q5">
            <v>46054</v>
          </cell>
          <cell r="R5">
            <v>46082</v>
          </cell>
        </row>
        <row r="7">
          <cell r="D7">
            <v>7078847120</v>
          </cell>
        </row>
        <row r="12">
          <cell r="P12">
            <v>-28</v>
          </cell>
          <cell r="Q12">
            <v>-64</v>
          </cell>
          <cell r="R12">
            <v>-64</v>
          </cell>
        </row>
        <row r="13">
          <cell r="P13">
            <v>-0.77777777777777779</v>
          </cell>
          <cell r="Q13" t="str">
            <v>0</v>
          </cell>
          <cell r="R13" t="str">
            <v>0</v>
          </cell>
        </row>
        <row r="14">
          <cell r="D14">
            <v>7078848100</v>
          </cell>
        </row>
        <row r="19">
          <cell r="P19">
            <v>-73</v>
          </cell>
          <cell r="Q19">
            <v>-125</v>
          </cell>
          <cell r="R19">
            <v>-125</v>
          </cell>
        </row>
        <row r="20">
          <cell r="P20">
            <v>-1.403846153846154</v>
          </cell>
          <cell r="Q20" t="str">
            <v>0</v>
          </cell>
          <cell r="R20" t="str">
            <v>0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1C3B3-7D02-47A1-8B71-7113016A356F}" name="Table2" displayName="Table2" ref="A2:G8" totalsRowShown="0" headerRowDxfId="8" tableBorderDxfId="7">
  <autoFilter ref="A2:G8" xr:uid="{2FA1C3B3-7D02-47A1-8B71-7113016A356F}"/>
  <tableColumns count="7">
    <tableColumn id="1" xr3:uid="{F2F964BA-0DC0-418E-8511-8F624B18440C}" name="Item Code" dataDxfId="6"/>
    <tableColumn id="2" xr3:uid="{A4FFEC06-6A98-42FA-9134-BADD180BEBBB}" name="Bulan" dataDxfId="5"/>
    <tableColumn id="3" xr3:uid="{795A35E3-BA5F-44DB-AF1E-954580D643AB}" name="Balance" dataDxfId="4"/>
    <tableColumn id="4" xr3:uid="{2517F1C2-D7A9-4A40-91EA-AF48F21047E4}" name="Stock Ratio" dataDxfId="3"/>
    <tableColumn id="5" xr3:uid="{EED49D9D-A28A-439F-A4CE-00899478A5DD}" name="Status" dataDxfId="2">
      <calculatedColumnFormula>IF(C3&lt;0,"Leaking",IF(C3&lt;20,"Warning","OK"))</calculatedColumnFormula>
    </tableColumn>
    <tableColumn id="6" xr3:uid="{F781D70B-34A7-446C-BB1A-59E07B42374D}" name="Masalah" dataDxfId="1">
      <calculatedColumnFormula>IF(C3&lt;0,"Minus stok "&amp;C3,IF(C3&lt;20,"Stok hampir habis","Stok aman"))</calculatedColumnFormula>
    </tableColumn>
    <tableColumn id="7" xr3:uid="{122074F7-CD87-42C8-A4CE-4554D98BDBA3}" name="Rekomendasi" dataDxfId="0">
      <calculatedColumnFormula>IF(AND(C3&lt;0,D3&lt;0.5),"Segera tambah stok",
 IF(AND(C3&lt;0,D3&lt;1),"Pertimbangkan PO tambahan",
 IF(C3&lt;=-100,"Prioritaskan urgent delivery",
 "Stok cukup, tidak perlu PO")))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A55D-840A-4117-AFC7-CD6B98783056}">
  <dimension ref="A1:G8"/>
  <sheetViews>
    <sheetView workbookViewId="0">
      <selection activeCell="B4" sqref="B4"/>
    </sheetView>
  </sheetViews>
  <sheetFormatPr defaultRowHeight="15" x14ac:dyDescent="0.25"/>
  <cols>
    <col min="1" max="1" width="12.42578125" bestFit="1" customWidth="1"/>
    <col min="2" max="2" width="8.28515625" bestFit="1" customWidth="1"/>
    <col min="3" max="3" width="10.140625" bestFit="1" customWidth="1"/>
    <col min="4" max="4" width="13" bestFit="1" customWidth="1"/>
    <col min="5" max="5" width="8.7109375" bestFit="1" customWidth="1"/>
    <col min="6" max="6" width="14.85546875" bestFit="1" customWidth="1"/>
    <col min="7" max="7" width="26.140625" bestFit="1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>
        <f>[1]Collar!$D$14</f>
        <v>7078848100</v>
      </c>
      <c r="B3" s="4">
        <f>[1]Collar!P5</f>
        <v>46023</v>
      </c>
      <c r="C3" s="5">
        <f>[1]Collar!P19</f>
        <v>-73</v>
      </c>
      <c r="D3" s="6">
        <f>[1]Collar!P13</f>
        <v>-0.77777777777777779</v>
      </c>
      <c r="E3" s="3" t="str">
        <f>IF(C3&lt;0,"Leaking",IF(C3&lt;20,"Warning","OK"))</f>
        <v>Leaking</v>
      </c>
      <c r="F3" s="3" t="str">
        <f>IF(C3&lt;0,"Minus stok "&amp;C3,IF(C3&lt;20,"Stok hampir habis","Stok aman"))</f>
        <v>Minus stok -73</v>
      </c>
      <c r="G3" s="3" t="str">
        <f>IF(AND(C3&lt;0,D3&lt;0.5),"Segera tambah stok",
 IF(AND(C3&lt;0,D3&lt;1),"Pertimbangkan PO tambahan",
 IF(C3&lt;=-100,"Prioritaskan urgent delivery",
 "Stok cukup, tidak perlu PO")))</f>
        <v>Segera tambah stok</v>
      </c>
    </row>
    <row r="4" spans="1:7" x14ac:dyDescent="0.25">
      <c r="A4" s="3">
        <f>[1]Collar!$D$14</f>
        <v>7078848100</v>
      </c>
      <c r="B4" s="4">
        <f>[1]Collar!Q5</f>
        <v>46054</v>
      </c>
      <c r="C4" s="5">
        <f>[1]Collar!Q19</f>
        <v>-125</v>
      </c>
      <c r="D4" s="5" t="str">
        <f>[1]Collar!Q13</f>
        <v>0</v>
      </c>
      <c r="E4" s="3" t="str">
        <f t="shared" ref="E4:E8" si="0">IF(C4&lt;0,"Leaking",IF(C4&lt;20,"Warning","OK"))</f>
        <v>Leaking</v>
      </c>
      <c r="F4" s="3" t="str">
        <f t="shared" ref="F4:F8" si="1">IF(C4&lt;0,"Minus stok "&amp;C4,IF(C4&lt;20,"Stok hampir habis","Stok aman"))</f>
        <v>Minus stok -125</v>
      </c>
      <c r="G4" s="3" t="str">
        <f t="shared" ref="G4:G5" si="2">IF(AND(C4&lt;0,D4&lt;0.5),"Segera tambah stok",
 IF(AND(C4&lt;0,D4&lt;1),"Pertimbangkan PO tambahan",
 IF(C4&lt;=-100,"Prioritaskan urgent delivery",
 "Stok cukup, tidak perlu PO")))</f>
        <v>Prioritaskan urgent delivery</v>
      </c>
    </row>
    <row r="5" spans="1:7" x14ac:dyDescent="0.25">
      <c r="A5" s="3">
        <f>[1]Collar!$D$14</f>
        <v>7078848100</v>
      </c>
      <c r="B5" s="4">
        <f>[1]Collar!R5</f>
        <v>46082</v>
      </c>
      <c r="C5" s="5">
        <f>[1]Collar!R19</f>
        <v>-125</v>
      </c>
      <c r="D5" s="5" t="str">
        <f>[1]Collar!R13</f>
        <v>0</v>
      </c>
      <c r="E5" s="3" t="str">
        <f t="shared" si="0"/>
        <v>Leaking</v>
      </c>
      <c r="F5" s="3" t="str">
        <f t="shared" si="1"/>
        <v>Minus stok -125</v>
      </c>
      <c r="G5" s="3" t="str">
        <f t="shared" si="2"/>
        <v>Prioritaskan urgent delivery</v>
      </c>
    </row>
    <row r="6" spans="1:7" x14ac:dyDescent="0.25">
      <c r="A6" s="3">
        <f>[1]Collar!$D$7</f>
        <v>7078847120</v>
      </c>
      <c r="B6" s="4">
        <f>[1]Collar!P5</f>
        <v>46023</v>
      </c>
      <c r="C6" s="5">
        <f>[1]Collar!P12</f>
        <v>-28</v>
      </c>
      <c r="D6" s="6">
        <f>[1]Collar!P20</f>
        <v>-1.403846153846154</v>
      </c>
      <c r="E6" s="3" t="str">
        <f t="shared" si="0"/>
        <v>Leaking</v>
      </c>
      <c r="F6" s="3" t="str">
        <f t="shared" si="1"/>
        <v>Minus stok -28</v>
      </c>
      <c r="G6" s="3" t="str">
        <f>IF(AND(C6&lt;0,D6&lt;0.5),"Segera tambah stok",
 IF(AND(C6&lt;0,D6&lt;1),"Pertimbangkan PO tambahan",
 IF(C6&lt;=-100,"Prioritaskan urgent delivery",
 "Stok cukup, tidak perlu PO")))</f>
        <v>Segera tambah stok</v>
      </c>
    </row>
    <row r="7" spans="1:7" x14ac:dyDescent="0.25">
      <c r="A7" s="3">
        <f>[1]Collar!$D$7</f>
        <v>7078847120</v>
      </c>
      <c r="B7" s="4">
        <f>[1]Collar!Q5</f>
        <v>46054</v>
      </c>
      <c r="C7" s="5">
        <f>[1]Collar!Q12</f>
        <v>-64</v>
      </c>
      <c r="D7" s="5" t="str">
        <f>[1]Collar!Q20</f>
        <v>0</v>
      </c>
      <c r="E7" s="3" t="str">
        <f t="shared" si="0"/>
        <v>Leaking</v>
      </c>
      <c r="F7" s="3" t="str">
        <f t="shared" si="1"/>
        <v>Minus stok -64</v>
      </c>
      <c r="G7" s="3" t="str">
        <f>IF(AND(C7&lt;0,D7&lt;0.5),"Segera tambah stok",
 IF(AND(C7&lt;0,D7&lt;1),"Pertimbangkan PO tambahan",
 IF(C7&lt;=-100,"Prioritaskan urgent delivery",
 "Stok cukup, tidak perlu PO")))</f>
        <v>Stok cukup, tidak perlu PO</v>
      </c>
    </row>
    <row r="8" spans="1:7" x14ac:dyDescent="0.25">
      <c r="A8" s="7">
        <f>[1]Collar!$D$7</f>
        <v>7078847120</v>
      </c>
      <c r="B8" s="8">
        <f>[1]Collar!R5</f>
        <v>46082</v>
      </c>
      <c r="C8" s="9">
        <f>[1]Collar!R12</f>
        <v>-64</v>
      </c>
      <c r="D8" s="9" t="str">
        <f>[1]Collar!R20</f>
        <v>0</v>
      </c>
      <c r="E8" s="7" t="str">
        <f t="shared" si="0"/>
        <v>Leaking</v>
      </c>
      <c r="F8" s="7" t="str">
        <f t="shared" si="1"/>
        <v>Minus stok -64</v>
      </c>
      <c r="G8" s="3" t="str">
        <f>IF(AND(C8&lt;0,D8&lt;0.5),"Segera tambah stok",
 IF(AND(C8&lt;0,D8&lt;1),"Pertimbangkan PO tambahan",
 IF(C8&lt;=-100,"Prioritaskan urgent delivery",
 "Stok cukup, tidak perlu PO")))</f>
        <v>Stok cukup, tidak perlu PO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E9DA-E61F-499E-B94E-FAEC1F30A4E0}">
  <dimension ref="A1:D25"/>
  <sheetViews>
    <sheetView workbookViewId="0">
      <selection activeCell="G5" sqref="G5"/>
    </sheetView>
  </sheetViews>
  <sheetFormatPr defaultRowHeight="15" x14ac:dyDescent="0.25"/>
  <cols>
    <col min="1" max="1" width="14.28515625" bestFit="1" customWidth="1"/>
    <col min="2" max="2" width="15.140625" bestFit="1" customWidth="1"/>
    <col min="3" max="3" width="12.5703125" bestFit="1" customWidth="1"/>
    <col min="4" max="4" width="10.42578125" bestFit="1" customWidth="1"/>
  </cols>
  <sheetData>
    <row r="1" spans="1:4" x14ac:dyDescent="0.25">
      <c r="A1" s="13" t="s">
        <v>8</v>
      </c>
      <c r="B1" s="14" t="s">
        <v>9</v>
      </c>
      <c r="C1" s="14" t="s">
        <v>10</v>
      </c>
      <c r="D1" s="14" t="s">
        <v>11</v>
      </c>
    </row>
    <row r="2" spans="1:4" x14ac:dyDescent="0.25">
      <c r="A2" s="10" t="s">
        <v>73</v>
      </c>
      <c r="B2" s="11" t="s">
        <v>12</v>
      </c>
      <c r="C2" s="11">
        <v>50</v>
      </c>
      <c r="D2" s="12">
        <v>45722</v>
      </c>
    </row>
    <row r="3" spans="1:4" x14ac:dyDescent="0.25">
      <c r="A3" s="10" t="s">
        <v>74</v>
      </c>
      <c r="B3" s="11" t="s">
        <v>13</v>
      </c>
      <c r="C3" s="11">
        <v>13</v>
      </c>
      <c r="D3" s="12">
        <v>45723</v>
      </c>
    </row>
    <row r="4" spans="1:4" x14ac:dyDescent="0.25">
      <c r="A4" s="10" t="s">
        <v>75</v>
      </c>
      <c r="B4" s="11" t="s">
        <v>14</v>
      </c>
      <c r="C4" s="11">
        <v>13</v>
      </c>
      <c r="D4" s="12">
        <v>45723</v>
      </c>
    </row>
    <row r="5" spans="1:4" x14ac:dyDescent="0.25">
      <c r="A5" s="10" t="s">
        <v>76</v>
      </c>
      <c r="B5" s="11" t="s">
        <v>15</v>
      </c>
      <c r="C5" s="11">
        <v>26</v>
      </c>
      <c r="D5" s="12">
        <v>45722</v>
      </c>
    </row>
    <row r="6" spans="1:4" x14ac:dyDescent="0.25">
      <c r="A6" s="10" t="s">
        <v>74</v>
      </c>
      <c r="B6" s="11" t="s">
        <v>13</v>
      </c>
      <c r="C6" s="11">
        <v>7</v>
      </c>
      <c r="D6" s="12">
        <v>45734</v>
      </c>
    </row>
    <row r="7" spans="1:4" x14ac:dyDescent="0.25">
      <c r="A7" s="10" t="s">
        <v>75</v>
      </c>
      <c r="B7" s="11" t="s">
        <v>14</v>
      </c>
      <c r="C7" s="11">
        <v>7</v>
      </c>
      <c r="D7" s="12">
        <v>45734</v>
      </c>
    </row>
    <row r="8" spans="1:4" x14ac:dyDescent="0.25">
      <c r="A8" s="10" t="s">
        <v>76</v>
      </c>
      <c r="B8" s="11" t="s">
        <v>15</v>
      </c>
      <c r="C8" s="11">
        <v>14</v>
      </c>
      <c r="D8" s="12">
        <v>45729</v>
      </c>
    </row>
    <row r="9" spans="1:4" x14ac:dyDescent="0.25">
      <c r="A9" s="10" t="s">
        <v>73</v>
      </c>
      <c r="B9" s="11" t="s">
        <v>12</v>
      </c>
      <c r="C9" s="11">
        <v>50</v>
      </c>
      <c r="D9" s="12">
        <v>45735</v>
      </c>
    </row>
    <row r="10" spans="1:4" x14ac:dyDescent="0.25">
      <c r="A10" s="10" t="s">
        <v>77</v>
      </c>
      <c r="B10" s="11" t="s">
        <v>16</v>
      </c>
      <c r="C10" s="11">
        <v>2</v>
      </c>
      <c r="D10" s="12">
        <v>45748</v>
      </c>
    </row>
    <row r="11" spans="1:4" x14ac:dyDescent="0.25">
      <c r="A11" s="10" t="s">
        <v>78</v>
      </c>
      <c r="B11" s="11" t="s">
        <v>17</v>
      </c>
      <c r="C11" s="11">
        <v>2</v>
      </c>
      <c r="D11" s="12">
        <v>45748</v>
      </c>
    </row>
    <row r="12" spans="1:4" x14ac:dyDescent="0.25">
      <c r="A12" s="10" t="s">
        <v>79</v>
      </c>
      <c r="B12" s="11" t="s">
        <v>14</v>
      </c>
      <c r="C12" s="11">
        <v>2</v>
      </c>
      <c r="D12" s="12">
        <v>45748</v>
      </c>
    </row>
    <row r="13" spans="1:4" x14ac:dyDescent="0.25">
      <c r="A13" s="10" t="s">
        <v>80</v>
      </c>
      <c r="B13" s="11" t="s">
        <v>14</v>
      </c>
      <c r="C13" s="11">
        <v>2</v>
      </c>
      <c r="D13" s="12">
        <v>45748</v>
      </c>
    </row>
    <row r="14" spans="1:4" x14ac:dyDescent="0.25">
      <c r="A14" s="10" t="s">
        <v>81</v>
      </c>
      <c r="B14" s="11" t="s">
        <v>16</v>
      </c>
      <c r="C14" s="11">
        <v>2</v>
      </c>
      <c r="D14" s="12">
        <v>45748</v>
      </c>
    </row>
    <row r="15" spans="1:4" x14ac:dyDescent="0.25">
      <c r="A15" s="10" t="s">
        <v>82</v>
      </c>
      <c r="B15" s="11" t="s">
        <v>17</v>
      </c>
      <c r="C15" s="11">
        <v>2</v>
      </c>
      <c r="D15" s="12">
        <v>45748</v>
      </c>
    </row>
    <row r="16" spans="1:4" x14ac:dyDescent="0.25">
      <c r="A16" s="10" t="s">
        <v>83</v>
      </c>
      <c r="B16" s="11" t="s">
        <v>14</v>
      </c>
      <c r="C16" s="11">
        <v>4</v>
      </c>
      <c r="D16" s="12">
        <v>45748</v>
      </c>
    </row>
    <row r="17" spans="1:4" x14ac:dyDescent="0.25">
      <c r="A17" s="10" t="s">
        <v>84</v>
      </c>
      <c r="B17" s="11" t="s">
        <v>14</v>
      </c>
      <c r="C17" s="11">
        <v>2</v>
      </c>
      <c r="D17" s="12">
        <v>45748</v>
      </c>
    </row>
    <row r="18" spans="1:4" x14ac:dyDescent="0.25">
      <c r="A18" s="10" t="s">
        <v>85</v>
      </c>
      <c r="B18" s="11" t="s">
        <v>14</v>
      </c>
      <c r="C18" s="11">
        <v>4</v>
      </c>
      <c r="D18" s="12">
        <v>45748</v>
      </c>
    </row>
    <row r="19" spans="1:4" x14ac:dyDescent="0.25">
      <c r="A19" s="10" t="s">
        <v>86</v>
      </c>
      <c r="B19" s="11" t="s">
        <v>18</v>
      </c>
      <c r="C19" s="11">
        <v>2</v>
      </c>
      <c r="D19" s="12">
        <v>45748</v>
      </c>
    </row>
    <row r="20" spans="1:4" x14ac:dyDescent="0.25">
      <c r="A20" s="10" t="s">
        <v>87</v>
      </c>
      <c r="B20" s="11" t="s">
        <v>12</v>
      </c>
      <c r="C20" s="11">
        <v>30</v>
      </c>
      <c r="D20" s="12">
        <v>45741</v>
      </c>
    </row>
    <row r="21" spans="1:4" x14ac:dyDescent="0.25">
      <c r="A21" s="10" t="s">
        <v>88</v>
      </c>
      <c r="B21" s="11" t="s">
        <v>12</v>
      </c>
      <c r="C21" s="11">
        <v>20</v>
      </c>
      <c r="D21" s="12">
        <v>45743</v>
      </c>
    </row>
    <row r="22" spans="1:4" x14ac:dyDescent="0.25">
      <c r="A22" s="10" t="s">
        <v>74</v>
      </c>
      <c r="B22" s="11" t="s">
        <v>13</v>
      </c>
      <c r="C22" s="11">
        <v>3</v>
      </c>
      <c r="D22" s="12">
        <v>45744</v>
      </c>
    </row>
    <row r="23" spans="1:4" x14ac:dyDescent="0.25">
      <c r="A23" s="10" t="s">
        <v>75</v>
      </c>
      <c r="B23" s="11" t="s">
        <v>14</v>
      </c>
      <c r="C23" s="11">
        <v>3</v>
      </c>
      <c r="D23" s="12">
        <v>45744</v>
      </c>
    </row>
    <row r="24" spans="1:4" x14ac:dyDescent="0.25">
      <c r="A24" s="10" t="s">
        <v>76</v>
      </c>
      <c r="B24" s="11" t="s">
        <v>15</v>
      </c>
      <c r="C24" s="11">
        <v>6</v>
      </c>
      <c r="D24" s="12">
        <v>45742</v>
      </c>
    </row>
    <row r="25" spans="1:4" x14ac:dyDescent="0.25">
      <c r="A25" s="10" t="s">
        <v>77</v>
      </c>
      <c r="B25" s="11" t="s">
        <v>16</v>
      </c>
      <c r="C25" s="11">
        <v>2</v>
      </c>
      <c r="D25" s="12">
        <v>45756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C1DA-6067-41A5-9FF3-2DA1D3843FA8}">
  <dimension ref="A1:K25"/>
  <sheetViews>
    <sheetView tabSelected="1" workbookViewId="0">
      <selection activeCell="G7" sqref="G7"/>
    </sheetView>
  </sheetViews>
  <sheetFormatPr defaultRowHeight="15" x14ac:dyDescent="0.25"/>
  <cols>
    <col min="1" max="1" width="10.140625" bestFit="1" customWidth="1"/>
    <col min="2" max="2" width="21.140625" bestFit="1" customWidth="1"/>
    <col min="3" max="3" width="13.140625" bestFit="1" customWidth="1"/>
    <col min="4" max="4" width="12.42578125" bestFit="1" customWidth="1"/>
    <col min="5" max="6" width="6" bestFit="1" customWidth="1"/>
    <col min="7" max="8" width="5" bestFit="1" customWidth="1"/>
    <col min="9" max="9" width="17.5703125" bestFit="1" customWidth="1"/>
    <col min="10" max="10" width="12.5703125" customWidth="1"/>
    <col min="11" max="11" width="17.28515625" bestFit="1" customWidth="1"/>
  </cols>
  <sheetData>
    <row r="1" spans="1:11" x14ac:dyDescent="0.25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1" t="s">
        <v>26</v>
      </c>
      <c r="I1" s="21" t="s">
        <v>27</v>
      </c>
      <c r="J1" s="21" t="s">
        <v>28</v>
      </c>
      <c r="K1" s="21" t="s">
        <v>29</v>
      </c>
    </row>
    <row r="2" spans="1:11" x14ac:dyDescent="0.25">
      <c r="A2" s="20">
        <v>7306</v>
      </c>
      <c r="B2" s="11" t="s">
        <v>30</v>
      </c>
      <c r="C2" s="11" t="s">
        <v>120</v>
      </c>
      <c r="D2" s="11" t="s">
        <v>31</v>
      </c>
      <c r="E2" s="11">
        <v>27.2</v>
      </c>
      <c r="F2" s="11">
        <v>21.6</v>
      </c>
      <c r="G2" s="11">
        <v>2.8</v>
      </c>
      <c r="H2" s="11">
        <v>5500</v>
      </c>
      <c r="I2" s="11">
        <v>9.3000000000000007</v>
      </c>
      <c r="J2" s="11" t="s">
        <v>48</v>
      </c>
      <c r="K2" s="11" t="s">
        <v>55</v>
      </c>
    </row>
    <row r="3" spans="1:11" x14ac:dyDescent="0.25">
      <c r="A3" s="20">
        <v>7214</v>
      </c>
      <c r="B3" s="11" t="s">
        <v>32</v>
      </c>
      <c r="C3" s="11" t="s">
        <v>121</v>
      </c>
      <c r="D3" s="11" t="s">
        <v>89</v>
      </c>
      <c r="E3" s="11">
        <v>35</v>
      </c>
      <c r="F3" s="11">
        <v>35</v>
      </c>
      <c r="G3" s="11">
        <v>0</v>
      </c>
      <c r="H3" s="11">
        <v>6000</v>
      </c>
      <c r="I3" s="11">
        <v>48</v>
      </c>
      <c r="J3" s="11" t="s">
        <v>49</v>
      </c>
      <c r="K3" s="11" t="s">
        <v>56</v>
      </c>
    </row>
    <row r="4" spans="1:11" x14ac:dyDescent="0.25">
      <c r="A4" s="20">
        <v>7306</v>
      </c>
      <c r="B4" s="11" t="s">
        <v>30</v>
      </c>
      <c r="C4" s="11" t="s">
        <v>120</v>
      </c>
      <c r="D4" s="11" t="s">
        <v>31</v>
      </c>
      <c r="E4" s="11">
        <v>48.6</v>
      </c>
      <c r="F4" s="11">
        <v>41.6</v>
      </c>
      <c r="G4" s="11">
        <v>3.5</v>
      </c>
      <c r="H4" s="11">
        <v>5500</v>
      </c>
      <c r="I4" s="11">
        <v>22</v>
      </c>
      <c r="J4" s="11" t="s">
        <v>50</v>
      </c>
      <c r="K4" s="11" t="s">
        <v>33</v>
      </c>
    </row>
    <row r="5" spans="1:11" x14ac:dyDescent="0.25">
      <c r="A5" s="11" t="s">
        <v>33</v>
      </c>
      <c r="B5" s="11" t="s">
        <v>32</v>
      </c>
      <c r="C5" s="11" t="s">
        <v>122</v>
      </c>
      <c r="D5" s="11" t="s">
        <v>90</v>
      </c>
      <c r="E5" s="11">
        <v>50</v>
      </c>
      <c r="F5" s="11">
        <v>50</v>
      </c>
      <c r="G5" s="11">
        <v>0</v>
      </c>
      <c r="H5" s="11">
        <v>6000</v>
      </c>
      <c r="I5" s="11">
        <v>90</v>
      </c>
      <c r="J5" s="11" t="s">
        <v>49</v>
      </c>
      <c r="K5" s="11" t="s">
        <v>56</v>
      </c>
    </row>
    <row r="6" spans="1:11" x14ac:dyDescent="0.25">
      <c r="A6" s="20">
        <v>7304</v>
      </c>
      <c r="B6" s="11" t="s">
        <v>34</v>
      </c>
      <c r="C6" s="11" t="s">
        <v>123</v>
      </c>
      <c r="D6" s="11" t="s">
        <v>91</v>
      </c>
      <c r="E6" s="11">
        <v>57.3</v>
      </c>
      <c r="F6" s="11">
        <v>44.9</v>
      </c>
      <c r="G6" s="11">
        <v>6.2</v>
      </c>
      <c r="H6" s="11">
        <v>4040</v>
      </c>
      <c r="I6" s="11">
        <v>32.299999999999997</v>
      </c>
      <c r="J6" s="11" t="s">
        <v>51</v>
      </c>
      <c r="K6" s="11" t="s">
        <v>57</v>
      </c>
    </row>
    <row r="7" spans="1:11" x14ac:dyDescent="0.25">
      <c r="A7" s="20">
        <v>7304</v>
      </c>
      <c r="B7" s="11" t="s">
        <v>34</v>
      </c>
      <c r="C7" s="11" t="s">
        <v>123</v>
      </c>
      <c r="D7" s="11" t="s">
        <v>91</v>
      </c>
      <c r="E7" s="11">
        <v>60</v>
      </c>
      <c r="F7" s="11">
        <v>47.8</v>
      </c>
      <c r="G7" s="11">
        <v>6.1</v>
      </c>
      <c r="H7" s="11">
        <v>4040</v>
      </c>
      <c r="I7" s="11">
        <v>32.299999999999997</v>
      </c>
      <c r="J7" s="11" t="s">
        <v>51</v>
      </c>
      <c r="K7" s="11" t="s">
        <v>57</v>
      </c>
    </row>
    <row r="8" spans="1:11" x14ac:dyDescent="0.25">
      <c r="A8" s="20">
        <v>7214</v>
      </c>
      <c r="B8" s="11" t="s">
        <v>32</v>
      </c>
      <c r="C8" s="11" t="s">
        <v>124</v>
      </c>
      <c r="D8" s="11" t="s">
        <v>92</v>
      </c>
      <c r="E8" s="11">
        <v>65</v>
      </c>
      <c r="F8" s="11">
        <v>65</v>
      </c>
      <c r="G8" s="11">
        <v>0</v>
      </c>
      <c r="H8" s="11">
        <v>6000</v>
      </c>
      <c r="I8" s="11">
        <v>156</v>
      </c>
      <c r="J8" s="11" t="s">
        <v>50</v>
      </c>
      <c r="K8" s="11" t="s">
        <v>59</v>
      </c>
    </row>
    <row r="9" spans="1:11" x14ac:dyDescent="0.25">
      <c r="A9" s="20">
        <v>7304</v>
      </c>
      <c r="B9" s="11" t="s">
        <v>35</v>
      </c>
      <c r="C9" s="11" t="s">
        <v>125</v>
      </c>
      <c r="D9" s="11" t="s">
        <v>89</v>
      </c>
      <c r="E9" s="11">
        <v>76.3</v>
      </c>
      <c r="F9" s="11">
        <v>56.3</v>
      </c>
      <c r="G9" s="11">
        <v>10</v>
      </c>
      <c r="H9" s="11">
        <v>6000</v>
      </c>
      <c r="I9" s="11">
        <v>96</v>
      </c>
      <c r="J9" s="11" t="s">
        <v>49</v>
      </c>
      <c r="K9" s="11" t="s">
        <v>55</v>
      </c>
    </row>
    <row r="10" spans="1:11" x14ac:dyDescent="0.25">
      <c r="A10" s="20">
        <v>7304</v>
      </c>
      <c r="B10" s="11" t="s">
        <v>35</v>
      </c>
      <c r="C10" s="11" t="s">
        <v>126</v>
      </c>
      <c r="D10" s="11" t="s">
        <v>93</v>
      </c>
      <c r="E10" s="11">
        <v>76.3</v>
      </c>
      <c r="F10" s="11">
        <v>41.3</v>
      </c>
      <c r="G10" s="11">
        <v>17.5</v>
      </c>
      <c r="H10" s="11">
        <v>5780</v>
      </c>
      <c r="I10" s="11">
        <v>145</v>
      </c>
      <c r="J10" s="11" t="s">
        <v>52</v>
      </c>
      <c r="K10" s="11" t="s">
        <v>55</v>
      </c>
    </row>
    <row r="11" spans="1:11" x14ac:dyDescent="0.25">
      <c r="A11" s="20">
        <v>7228</v>
      </c>
      <c r="B11" s="11" t="s">
        <v>32</v>
      </c>
      <c r="C11" s="11" t="s">
        <v>127</v>
      </c>
      <c r="D11" s="11" t="s">
        <v>94</v>
      </c>
      <c r="E11" s="11">
        <v>80</v>
      </c>
      <c r="F11" s="11">
        <v>80</v>
      </c>
      <c r="G11" s="11">
        <v>0</v>
      </c>
      <c r="H11" s="11">
        <v>5430</v>
      </c>
      <c r="I11" s="11">
        <v>212</v>
      </c>
      <c r="J11" s="11" t="s">
        <v>49</v>
      </c>
      <c r="K11" s="11" t="s">
        <v>33</v>
      </c>
    </row>
    <row r="12" spans="1:11" x14ac:dyDescent="0.25">
      <c r="A12" s="20">
        <v>7304</v>
      </c>
      <c r="B12" s="11" t="s">
        <v>34</v>
      </c>
      <c r="C12" s="11" t="s">
        <v>123</v>
      </c>
      <c r="D12" s="11" t="s">
        <v>91</v>
      </c>
      <c r="E12" s="11">
        <v>89.2</v>
      </c>
      <c r="F12" s="11">
        <v>76.600000000000009</v>
      </c>
      <c r="G12" s="11">
        <v>6.3</v>
      </c>
      <c r="H12" s="11">
        <v>4040</v>
      </c>
      <c r="I12" s="11">
        <v>53</v>
      </c>
      <c r="J12" s="11" t="s">
        <v>51</v>
      </c>
      <c r="K12" s="11" t="s">
        <v>57</v>
      </c>
    </row>
    <row r="13" spans="1:11" x14ac:dyDescent="0.25">
      <c r="A13" s="20">
        <v>7228</v>
      </c>
      <c r="B13" s="11" t="s">
        <v>32</v>
      </c>
      <c r="C13" s="11" t="s">
        <v>127</v>
      </c>
      <c r="D13" s="11" t="s">
        <v>94</v>
      </c>
      <c r="E13" s="11">
        <v>105</v>
      </c>
      <c r="F13" s="11">
        <v>105</v>
      </c>
      <c r="G13" s="11">
        <v>0</v>
      </c>
      <c r="H13" s="11">
        <v>5680</v>
      </c>
      <c r="I13" s="11">
        <v>386</v>
      </c>
      <c r="J13" s="11" t="s">
        <v>49</v>
      </c>
      <c r="K13" s="11" t="s">
        <v>33</v>
      </c>
    </row>
    <row r="14" spans="1:11" x14ac:dyDescent="0.25">
      <c r="A14" s="20">
        <v>7214</v>
      </c>
      <c r="B14" s="11" t="s">
        <v>32</v>
      </c>
      <c r="C14" s="11" t="s">
        <v>124</v>
      </c>
      <c r="D14" s="11" t="s">
        <v>92</v>
      </c>
      <c r="E14" s="11">
        <v>110</v>
      </c>
      <c r="F14" s="11">
        <v>110</v>
      </c>
      <c r="G14" s="11">
        <v>0</v>
      </c>
      <c r="H14" s="11">
        <v>6000</v>
      </c>
      <c r="I14" s="11">
        <v>448</v>
      </c>
      <c r="J14" s="11" t="s">
        <v>49</v>
      </c>
      <c r="K14" s="11" t="s">
        <v>58</v>
      </c>
    </row>
    <row r="15" spans="1:11" x14ac:dyDescent="0.25">
      <c r="A15" s="20">
        <v>7306</v>
      </c>
      <c r="B15" s="11" t="s">
        <v>30</v>
      </c>
      <c r="C15" s="11" t="s">
        <v>128</v>
      </c>
      <c r="D15" s="11" t="s">
        <v>95</v>
      </c>
      <c r="E15" s="11">
        <v>114.3</v>
      </c>
      <c r="F15" s="11">
        <v>107.3</v>
      </c>
      <c r="G15" s="11">
        <v>3.5</v>
      </c>
      <c r="H15" s="11">
        <v>6000</v>
      </c>
      <c r="I15" s="11">
        <v>57.4</v>
      </c>
      <c r="J15" s="11" t="s">
        <v>48</v>
      </c>
      <c r="K15" s="11" t="s">
        <v>55</v>
      </c>
    </row>
    <row r="16" spans="1:11" x14ac:dyDescent="0.25">
      <c r="A16" s="20">
        <v>7304</v>
      </c>
      <c r="B16" s="11" t="s">
        <v>35</v>
      </c>
      <c r="C16" s="11" t="s">
        <v>129</v>
      </c>
      <c r="D16" s="11" t="s">
        <v>96</v>
      </c>
      <c r="E16" s="11">
        <v>120</v>
      </c>
      <c r="F16" s="11">
        <v>75</v>
      </c>
      <c r="G16" s="11">
        <v>22.5</v>
      </c>
      <c r="H16" s="11">
        <v>5390</v>
      </c>
      <c r="I16" s="11">
        <v>291</v>
      </c>
      <c r="J16" s="11" t="s">
        <v>54</v>
      </c>
      <c r="K16" s="11" t="s">
        <v>60</v>
      </c>
    </row>
    <row r="17" spans="1:11" x14ac:dyDescent="0.25">
      <c r="A17" s="20">
        <v>7228</v>
      </c>
      <c r="B17" s="11" t="s">
        <v>32</v>
      </c>
      <c r="C17" s="11" t="s">
        <v>127</v>
      </c>
      <c r="D17" s="11" t="s">
        <v>94</v>
      </c>
      <c r="E17" s="11">
        <v>130</v>
      </c>
      <c r="F17" s="11">
        <v>130</v>
      </c>
      <c r="G17" s="11">
        <v>0</v>
      </c>
      <c r="H17" s="11">
        <v>5550</v>
      </c>
      <c r="I17" s="11">
        <v>577</v>
      </c>
      <c r="J17" s="11" t="s">
        <v>49</v>
      </c>
      <c r="K17" s="11"/>
    </row>
    <row r="18" spans="1:11" x14ac:dyDescent="0.25">
      <c r="A18" s="20">
        <v>7304</v>
      </c>
      <c r="B18" s="11" t="s">
        <v>35</v>
      </c>
      <c r="C18" s="11" t="s">
        <v>125</v>
      </c>
      <c r="D18" s="11" t="s">
        <v>89</v>
      </c>
      <c r="E18" s="11">
        <v>135</v>
      </c>
      <c r="F18" s="11">
        <v>95</v>
      </c>
      <c r="G18" s="11">
        <v>20</v>
      </c>
      <c r="H18" s="11">
        <v>6000</v>
      </c>
      <c r="I18" s="11">
        <v>340</v>
      </c>
      <c r="J18" s="11" t="s">
        <v>53</v>
      </c>
      <c r="K18" s="11" t="s">
        <v>57</v>
      </c>
    </row>
    <row r="19" spans="1:11" x14ac:dyDescent="0.25">
      <c r="A19" s="20">
        <v>7304</v>
      </c>
      <c r="B19" s="11" t="s">
        <v>35</v>
      </c>
      <c r="C19" s="11" t="s">
        <v>130</v>
      </c>
      <c r="D19" s="11" t="s">
        <v>95</v>
      </c>
      <c r="E19" s="11">
        <v>135</v>
      </c>
      <c r="F19" s="11">
        <v>95</v>
      </c>
      <c r="G19" s="11">
        <v>20</v>
      </c>
      <c r="H19" s="11">
        <v>5900</v>
      </c>
      <c r="I19" s="11">
        <v>335</v>
      </c>
      <c r="J19" s="11" t="s">
        <v>53</v>
      </c>
      <c r="K19" s="11" t="s">
        <v>55</v>
      </c>
    </row>
    <row r="20" spans="1:11" x14ac:dyDescent="0.25">
      <c r="A20" s="20">
        <v>7304</v>
      </c>
      <c r="B20" s="11" t="s">
        <v>35</v>
      </c>
      <c r="C20" s="11" t="s">
        <v>129</v>
      </c>
      <c r="D20" s="11" t="s">
        <v>96</v>
      </c>
      <c r="E20" s="11">
        <v>139.80000000000001</v>
      </c>
      <c r="F20" s="11">
        <v>77.800000000000011</v>
      </c>
      <c r="G20" s="11">
        <v>31</v>
      </c>
      <c r="H20" s="11">
        <v>5560</v>
      </c>
      <c r="I20" s="11">
        <v>463</v>
      </c>
      <c r="J20" s="11" t="s">
        <v>54</v>
      </c>
      <c r="K20" s="11" t="s">
        <v>61</v>
      </c>
    </row>
    <row r="21" spans="1:11" x14ac:dyDescent="0.25">
      <c r="A21" s="20">
        <v>7214</v>
      </c>
      <c r="B21" s="11" t="s">
        <v>32</v>
      </c>
      <c r="C21" s="11" t="s">
        <v>124</v>
      </c>
      <c r="D21" s="11" t="s">
        <v>92</v>
      </c>
      <c r="E21" s="11">
        <v>140</v>
      </c>
      <c r="F21" s="11">
        <v>140</v>
      </c>
      <c r="G21" s="11">
        <v>0</v>
      </c>
      <c r="H21" s="11">
        <v>5200</v>
      </c>
      <c r="I21" s="11">
        <v>629</v>
      </c>
      <c r="J21" s="11" t="s">
        <v>49</v>
      </c>
      <c r="K21" s="11" t="s">
        <v>58</v>
      </c>
    </row>
    <row r="22" spans="1:11" x14ac:dyDescent="0.25">
      <c r="A22" s="11" t="s">
        <v>63</v>
      </c>
      <c r="B22" s="11" t="s">
        <v>33</v>
      </c>
      <c r="C22" s="11" t="s">
        <v>33</v>
      </c>
      <c r="D22" s="11" t="s">
        <v>92</v>
      </c>
      <c r="E22" s="11">
        <v>145</v>
      </c>
      <c r="F22" s="11">
        <v>60</v>
      </c>
      <c r="G22" s="11">
        <v>42.5</v>
      </c>
      <c r="H22" s="11">
        <v>22</v>
      </c>
      <c r="I22" s="11">
        <v>2.35</v>
      </c>
      <c r="J22" s="11" t="s">
        <v>49</v>
      </c>
      <c r="K22" s="11" t="s">
        <v>62</v>
      </c>
    </row>
    <row r="23" spans="1:11" x14ac:dyDescent="0.25">
      <c r="A23" s="11" t="s">
        <v>63</v>
      </c>
      <c r="B23" s="11" t="s">
        <v>33</v>
      </c>
      <c r="C23" s="11" t="s">
        <v>33</v>
      </c>
      <c r="D23" s="11" t="s">
        <v>92</v>
      </c>
      <c r="E23" s="11">
        <v>150</v>
      </c>
      <c r="F23" s="11">
        <v>80</v>
      </c>
      <c r="G23" s="11">
        <v>35</v>
      </c>
      <c r="H23" s="11">
        <v>22</v>
      </c>
      <c r="I23" s="11">
        <v>2.17</v>
      </c>
      <c r="J23" s="11" t="s">
        <v>49</v>
      </c>
      <c r="K23" s="11" t="s">
        <v>62</v>
      </c>
    </row>
    <row r="24" spans="1:11" x14ac:dyDescent="0.25">
      <c r="A24" s="20">
        <v>7304</v>
      </c>
      <c r="B24" s="11" t="s">
        <v>35</v>
      </c>
      <c r="C24" s="11" t="s">
        <v>125</v>
      </c>
      <c r="D24" s="11" t="s">
        <v>89</v>
      </c>
      <c r="E24" s="11">
        <v>177.8</v>
      </c>
      <c r="F24" s="11">
        <v>87.800000000000011</v>
      </c>
      <c r="G24" s="11">
        <v>45</v>
      </c>
      <c r="H24" s="11">
        <v>6000</v>
      </c>
      <c r="I24" s="11">
        <v>882</v>
      </c>
      <c r="J24" s="11" t="s">
        <v>53</v>
      </c>
      <c r="K24" s="11" t="s">
        <v>55</v>
      </c>
    </row>
    <row r="25" spans="1:11" x14ac:dyDescent="0.25">
      <c r="A25" s="20">
        <v>7306</v>
      </c>
      <c r="B25" s="11" t="s">
        <v>30</v>
      </c>
      <c r="C25" s="11" t="s">
        <v>120</v>
      </c>
      <c r="D25" s="11" t="s">
        <v>31</v>
      </c>
      <c r="E25" s="11">
        <v>190.7</v>
      </c>
      <c r="F25" s="11">
        <v>180.1</v>
      </c>
      <c r="G25" s="11">
        <v>5.3</v>
      </c>
      <c r="H25" s="11">
        <v>5500</v>
      </c>
      <c r="I25" s="11">
        <v>133</v>
      </c>
      <c r="J25" s="11" t="s">
        <v>50</v>
      </c>
      <c r="K25" s="1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CE17-BEBF-4A5E-811F-FCF96AC3A187}">
  <dimension ref="A1:I26"/>
  <sheetViews>
    <sheetView workbookViewId="0">
      <selection activeCell="A7" sqref="A7"/>
    </sheetView>
  </sheetViews>
  <sheetFormatPr defaultRowHeight="15" x14ac:dyDescent="0.25"/>
  <cols>
    <col min="1" max="1" width="13.5703125" bestFit="1" customWidth="1"/>
    <col min="2" max="2" width="6" bestFit="1" customWidth="1"/>
    <col min="3" max="3" width="10.85546875" bestFit="1" customWidth="1"/>
    <col min="4" max="4" width="14.5703125" bestFit="1" customWidth="1"/>
    <col min="5" max="5" width="22.5703125" bestFit="1" customWidth="1"/>
    <col min="6" max="6" width="18" bestFit="1" customWidth="1"/>
    <col min="7" max="7" width="10.42578125" bestFit="1" customWidth="1"/>
    <col min="8" max="8" width="16" bestFit="1" customWidth="1"/>
    <col min="9" max="9" width="10" bestFit="1" customWidth="1"/>
  </cols>
  <sheetData>
    <row r="1" spans="1:9" s="15" customFormat="1" x14ac:dyDescent="0.25">
      <c r="A1" s="16" t="s">
        <v>64</v>
      </c>
      <c r="B1" s="16" t="s">
        <v>36</v>
      </c>
      <c r="C1" s="16" t="s">
        <v>37</v>
      </c>
      <c r="D1" s="16" t="s">
        <v>38</v>
      </c>
      <c r="E1" s="16" t="s">
        <v>65</v>
      </c>
      <c r="F1" s="16" t="s">
        <v>66</v>
      </c>
      <c r="G1" s="17" t="s">
        <v>68</v>
      </c>
      <c r="H1" s="16" t="s">
        <v>67</v>
      </c>
      <c r="I1" s="16" t="s">
        <v>39</v>
      </c>
    </row>
    <row r="2" spans="1:9" x14ac:dyDescent="0.25">
      <c r="A2" s="11" t="s">
        <v>73</v>
      </c>
      <c r="B2" s="11">
        <v>40000</v>
      </c>
      <c r="C2" s="11">
        <f>40013</f>
        <v>40013</v>
      </c>
      <c r="D2" s="11">
        <v>40015</v>
      </c>
      <c r="E2" s="11" t="s">
        <v>40</v>
      </c>
      <c r="F2" s="11" t="s">
        <v>69</v>
      </c>
      <c r="G2" s="11">
        <v>1</v>
      </c>
      <c r="H2" s="11">
        <v>121</v>
      </c>
      <c r="I2" s="11">
        <v>1</v>
      </c>
    </row>
    <row r="3" spans="1:9" x14ac:dyDescent="0.25">
      <c r="A3" s="11" t="s">
        <v>73</v>
      </c>
      <c r="B3" s="11">
        <v>40000</v>
      </c>
      <c r="C3" s="11">
        <f>40013</f>
        <v>40013</v>
      </c>
      <c r="D3" s="11">
        <v>40015</v>
      </c>
      <c r="E3" s="11" t="s">
        <v>40</v>
      </c>
      <c r="F3" s="11" t="s">
        <v>69</v>
      </c>
      <c r="G3" s="11">
        <v>1</v>
      </c>
      <c r="H3" s="11">
        <v>1066</v>
      </c>
      <c r="I3" s="11">
        <v>1</v>
      </c>
    </row>
    <row r="4" spans="1:9" x14ac:dyDescent="0.25">
      <c r="A4" s="11" t="s">
        <v>74</v>
      </c>
      <c r="B4" s="11">
        <v>40000</v>
      </c>
      <c r="C4" s="11">
        <f>40013</f>
        <v>40013</v>
      </c>
      <c r="D4" s="11">
        <v>40015</v>
      </c>
      <c r="E4" s="11" t="s">
        <v>41</v>
      </c>
      <c r="F4" s="11" t="s">
        <v>70</v>
      </c>
      <c r="G4" s="11">
        <v>3</v>
      </c>
      <c r="H4" s="11">
        <v>172</v>
      </c>
      <c r="I4" s="11">
        <v>3</v>
      </c>
    </row>
    <row r="5" spans="1:9" x14ac:dyDescent="0.25">
      <c r="A5" s="11" t="s">
        <v>75</v>
      </c>
      <c r="B5" s="11">
        <v>40000</v>
      </c>
      <c r="C5" s="11">
        <f>40013</f>
        <v>40013</v>
      </c>
      <c r="D5" s="11">
        <v>40015</v>
      </c>
      <c r="E5" s="11" t="s">
        <v>42</v>
      </c>
      <c r="F5" s="11" t="s">
        <v>71</v>
      </c>
      <c r="G5" s="11">
        <v>1</v>
      </c>
      <c r="H5" s="11">
        <v>37</v>
      </c>
      <c r="I5" s="11">
        <v>1</v>
      </c>
    </row>
    <row r="6" spans="1:9" x14ac:dyDescent="0.25">
      <c r="A6" s="11" t="s">
        <v>75</v>
      </c>
      <c r="B6" s="11">
        <v>40000</v>
      </c>
      <c r="C6" s="11">
        <f>40013</f>
        <v>40013</v>
      </c>
      <c r="D6" s="11">
        <v>40015</v>
      </c>
      <c r="E6" s="11" t="s">
        <v>42</v>
      </c>
      <c r="F6" s="11" t="s">
        <v>71</v>
      </c>
      <c r="G6" s="11">
        <v>1</v>
      </c>
      <c r="H6" s="11">
        <v>31</v>
      </c>
      <c r="I6" s="11">
        <v>1</v>
      </c>
    </row>
    <row r="7" spans="1:9" x14ac:dyDescent="0.25">
      <c r="A7" s="11" t="s">
        <v>75</v>
      </c>
      <c r="B7" s="11">
        <v>40000</v>
      </c>
      <c r="C7" s="11">
        <f>40013</f>
        <v>40013</v>
      </c>
      <c r="D7" s="11">
        <v>40015</v>
      </c>
      <c r="E7" s="11" t="s">
        <v>42</v>
      </c>
      <c r="F7" s="11" t="s">
        <v>71</v>
      </c>
      <c r="G7" s="11">
        <v>30</v>
      </c>
      <c r="H7" s="11">
        <v>969</v>
      </c>
      <c r="I7" s="11">
        <v>30</v>
      </c>
    </row>
    <row r="8" spans="1:9" x14ac:dyDescent="0.25">
      <c r="A8" s="11" t="s">
        <v>75</v>
      </c>
      <c r="B8" s="11">
        <v>40000</v>
      </c>
      <c r="C8" s="11">
        <f>40013</f>
        <v>40013</v>
      </c>
      <c r="D8" s="11">
        <v>40015</v>
      </c>
      <c r="E8" s="11" t="s">
        <v>42</v>
      </c>
      <c r="F8" s="11" t="s">
        <v>71</v>
      </c>
      <c r="G8" s="11">
        <v>1</v>
      </c>
      <c r="H8" s="11">
        <v>52</v>
      </c>
      <c r="I8" s="11">
        <v>1</v>
      </c>
    </row>
    <row r="9" spans="1:9" x14ac:dyDescent="0.25">
      <c r="A9" s="11" t="s">
        <v>75</v>
      </c>
      <c r="B9" s="11">
        <v>40000</v>
      </c>
      <c r="C9" s="11">
        <f>40013</f>
        <v>40013</v>
      </c>
      <c r="D9" s="11">
        <v>40015</v>
      </c>
      <c r="E9" s="11" t="s">
        <v>42</v>
      </c>
      <c r="F9" s="11" t="s">
        <v>71</v>
      </c>
      <c r="G9" s="11">
        <v>1</v>
      </c>
      <c r="H9" s="11">
        <v>9</v>
      </c>
      <c r="I9" s="11">
        <v>1</v>
      </c>
    </row>
    <row r="10" spans="1:9" x14ac:dyDescent="0.25">
      <c r="A10" s="11" t="s">
        <v>75</v>
      </c>
      <c r="B10" s="11">
        <v>40000</v>
      </c>
      <c r="C10" s="11">
        <f>40013</f>
        <v>40013</v>
      </c>
      <c r="D10" s="11">
        <v>40015</v>
      </c>
      <c r="E10" s="11" t="s">
        <v>42</v>
      </c>
      <c r="F10" s="11" t="s">
        <v>71</v>
      </c>
      <c r="G10" s="11">
        <v>1</v>
      </c>
      <c r="H10" s="11">
        <v>62</v>
      </c>
      <c r="I10" s="11">
        <v>1</v>
      </c>
    </row>
    <row r="11" spans="1:9" x14ac:dyDescent="0.25">
      <c r="A11" s="11" t="s">
        <v>75</v>
      </c>
      <c r="B11" s="11">
        <v>40000</v>
      </c>
      <c r="C11" s="11">
        <f>40013</f>
        <v>40013</v>
      </c>
      <c r="D11" s="11">
        <v>40015</v>
      </c>
      <c r="E11" s="11" t="s">
        <v>42</v>
      </c>
      <c r="F11" s="11" t="s">
        <v>71</v>
      </c>
      <c r="G11" s="11">
        <v>12</v>
      </c>
      <c r="H11" s="11">
        <v>972</v>
      </c>
      <c r="I11" s="11"/>
    </row>
    <row r="12" spans="1:9" x14ac:dyDescent="0.25">
      <c r="A12" s="11" t="s">
        <v>75</v>
      </c>
      <c r="B12" s="11">
        <v>40000</v>
      </c>
      <c r="C12" s="11">
        <f>40013</f>
        <v>40013</v>
      </c>
      <c r="D12" s="11">
        <v>40015</v>
      </c>
      <c r="E12" s="11" t="s">
        <v>42</v>
      </c>
      <c r="F12" s="11" t="s">
        <v>71</v>
      </c>
      <c r="G12" s="11">
        <v>4</v>
      </c>
      <c r="H12" s="11">
        <v>512</v>
      </c>
      <c r="I12" s="11">
        <v>4</v>
      </c>
    </row>
    <row r="13" spans="1:9" x14ac:dyDescent="0.25">
      <c r="A13" s="11" t="s">
        <v>75</v>
      </c>
      <c r="B13" s="11">
        <v>40000</v>
      </c>
      <c r="C13" s="11">
        <f>40013</f>
        <v>40013</v>
      </c>
      <c r="D13" s="11">
        <v>40015</v>
      </c>
      <c r="E13" s="11" t="s">
        <v>42</v>
      </c>
      <c r="F13" s="11" t="s">
        <v>71</v>
      </c>
      <c r="G13" s="11">
        <v>12</v>
      </c>
      <c r="H13" s="11">
        <v>3348</v>
      </c>
      <c r="I13" s="11">
        <v>12</v>
      </c>
    </row>
    <row r="14" spans="1:9" x14ac:dyDescent="0.25">
      <c r="A14" s="11" t="s">
        <v>75</v>
      </c>
      <c r="B14" s="11">
        <v>40000</v>
      </c>
      <c r="C14" s="11">
        <f>40013</f>
        <v>40013</v>
      </c>
      <c r="D14" s="11">
        <v>40015</v>
      </c>
      <c r="E14" s="11" t="s">
        <v>42</v>
      </c>
      <c r="F14" s="11" t="s">
        <v>71</v>
      </c>
      <c r="G14" s="11">
        <v>2</v>
      </c>
      <c r="H14" s="11">
        <v>510</v>
      </c>
      <c r="I14" s="11">
        <v>2</v>
      </c>
    </row>
    <row r="15" spans="1:9" x14ac:dyDescent="0.25">
      <c r="A15" s="11" t="s">
        <v>75</v>
      </c>
      <c r="B15" s="11">
        <v>40000</v>
      </c>
      <c r="C15" s="11">
        <f>40013</f>
        <v>40013</v>
      </c>
      <c r="D15" s="11">
        <v>40015</v>
      </c>
      <c r="E15" s="11" t="s">
        <v>42</v>
      </c>
      <c r="F15" s="11" t="s">
        <v>71</v>
      </c>
      <c r="G15" s="11">
        <v>1</v>
      </c>
      <c r="H15" s="11">
        <v>277</v>
      </c>
      <c r="I15" s="11">
        <v>1</v>
      </c>
    </row>
    <row r="16" spans="1:9" x14ac:dyDescent="0.25">
      <c r="A16" s="11" t="s">
        <v>75</v>
      </c>
      <c r="B16" s="11">
        <v>40000</v>
      </c>
      <c r="C16" s="11">
        <f>40013</f>
        <v>40013</v>
      </c>
      <c r="D16" s="11">
        <v>40015</v>
      </c>
      <c r="E16" s="11" t="s">
        <v>42</v>
      </c>
      <c r="F16" s="11" t="s">
        <v>71</v>
      </c>
      <c r="G16" s="11">
        <v>3</v>
      </c>
      <c r="H16" s="11">
        <v>537</v>
      </c>
      <c r="I16" s="11">
        <v>1</v>
      </c>
    </row>
    <row r="17" spans="1:9" x14ac:dyDescent="0.25">
      <c r="A17" s="11" t="s">
        <v>75</v>
      </c>
      <c r="B17" s="11">
        <v>40000</v>
      </c>
      <c r="C17" s="11">
        <f>40013</f>
        <v>40013</v>
      </c>
      <c r="D17" s="11">
        <v>40015</v>
      </c>
      <c r="E17" s="11" t="s">
        <v>42</v>
      </c>
      <c r="F17" s="11" t="s">
        <v>71</v>
      </c>
      <c r="G17" s="11">
        <v>3</v>
      </c>
      <c r="H17" s="11">
        <v>1002</v>
      </c>
      <c r="I17" s="11">
        <v>3</v>
      </c>
    </row>
    <row r="18" spans="1:9" x14ac:dyDescent="0.25">
      <c r="A18" s="11" t="s">
        <v>75</v>
      </c>
      <c r="B18" s="11">
        <v>40000</v>
      </c>
      <c r="C18" s="11">
        <f>40013</f>
        <v>40013</v>
      </c>
      <c r="D18" s="11">
        <v>40015</v>
      </c>
      <c r="E18" s="11" t="s">
        <v>42</v>
      </c>
      <c r="F18" s="11" t="s">
        <v>71</v>
      </c>
      <c r="G18" s="11">
        <v>3</v>
      </c>
      <c r="H18" s="11">
        <v>1515</v>
      </c>
      <c r="I18" s="11">
        <v>2</v>
      </c>
    </row>
    <row r="19" spans="1:9" x14ac:dyDescent="0.25">
      <c r="A19" s="11" t="s">
        <v>75</v>
      </c>
      <c r="B19" s="11">
        <v>40000</v>
      </c>
      <c r="C19" s="11">
        <f>40013</f>
        <v>40013</v>
      </c>
      <c r="D19" s="11">
        <v>40015</v>
      </c>
      <c r="E19" s="11" t="s">
        <v>43</v>
      </c>
      <c r="F19" s="11" t="s">
        <v>71</v>
      </c>
      <c r="G19" s="11">
        <v>1</v>
      </c>
      <c r="H19" s="11">
        <v>98</v>
      </c>
      <c r="I19" s="11">
        <v>1</v>
      </c>
    </row>
    <row r="20" spans="1:9" x14ac:dyDescent="0.25">
      <c r="A20" s="11" t="s">
        <v>75</v>
      </c>
      <c r="B20" s="11">
        <v>40000</v>
      </c>
      <c r="C20" s="11">
        <f>40013</f>
        <v>40013</v>
      </c>
      <c r="D20" s="11">
        <v>40015</v>
      </c>
      <c r="E20" s="11" t="s">
        <v>43</v>
      </c>
      <c r="F20" s="11" t="s">
        <v>71</v>
      </c>
      <c r="G20" s="11">
        <v>7</v>
      </c>
      <c r="H20" s="11">
        <v>1561</v>
      </c>
      <c r="I20" s="11">
        <v>7</v>
      </c>
    </row>
    <row r="21" spans="1:9" x14ac:dyDescent="0.25">
      <c r="A21" s="11" t="s">
        <v>75</v>
      </c>
      <c r="B21" s="11">
        <v>40000</v>
      </c>
      <c r="C21" s="11">
        <f>40013</f>
        <v>40013</v>
      </c>
      <c r="D21" s="11">
        <v>40015</v>
      </c>
      <c r="E21" s="11" t="s">
        <v>43</v>
      </c>
      <c r="F21" s="11" t="s">
        <v>71</v>
      </c>
      <c r="G21" s="11">
        <v>1</v>
      </c>
      <c r="H21" s="11">
        <v>241</v>
      </c>
      <c r="I21" s="11">
        <v>1</v>
      </c>
    </row>
    <row r="22" spans="1:9" x14ac:dyDescent="0.25">
      <c r="A22" s="11" t="s">
        <v>75</v>
      </c>
      <c r="B22" s="11">
        <v>40000</v>
      </c>
      <c r="C22" s="11">
        <f>40013</f>
        <v>40013</v>
      </c>
      <c r="D22" s="11">
        <v>40015</v>
      </c>
      <c r="E22" s="11" t="s">
        <v>43</v>
      </c>
      <c r="F22" s="11" t="s">
        <v>71</v>
      </c>
      <c r="G22" s="11">
        <v>10</v>
      </c>
      <c r="H22" s="11">
        <v>3310</v>
      </c>
      <c r="I22" s="11">
        <v>10</v>
      </c>
    </row>
    <row r="23" spans="1:9" x14ac:dyDescent="0.25">
      <c r="A23" s="11" t="s">
        <v>76</v>
      </c>
      <c r="B23" s="11">
        <v>40000</v>
      </c>
      <c r="C23" s="11">
        <f>40013</f>
        <v>40013</v>
      </c>
      <c r="D23" s="11">
        <v>40015</v>
      </c>
      <c r="E23" s="11" t="s">
        <v>42</v>
      </c>
      <c r="F23" s="11" t="s">
        <v>72</v>
      </c>
      <c r="G23" s="11">
        <v>1</v>
      </c>
      <c r="H23" s="11">
        <v>101</v>
      </c>
      <c r="I23" s="11">
        <v>1</v>
      </c>
    </row>
    <row r="24" spans="1:9" x14ac:dyDescent="0.25">
      <c r="A24" s="11" t="s">
        <v>76</v>
      </c>
      <c r="B24" s="11">
        <v>40000</v>
      </c>
      <c r="C24" s="11">
        <f>40013</f>
        <v>40013</v>
      </c>
      <c r="D24" s="11">
        <v>40015</v>
      </c>
      <c r="E24" s="11" t="s">
        <v>42</v>
      </c>
      <c r="F24" s="11" t="s">
        <v>72</v>
      </c>
      <c r="G24" s="11">
        <v>1</v>
      </c>
      <c r="H24" s="11">
        <v>108</v>
      </c>
      <c r="I24" s="11">
        <v>1</v>
      </c>
    </row>
    <row r="25" spans="1:9" x14ac:dyDescent="0.25">
      <c r="A25" s="11" t="s">
        <v>76</v>
      </c>
      <c r="B25" s="11">
        <v>40000</v>
      </c>
      <c r="C25" s="11">
        <f>40013</f>
        <v>40013</v>
      </c>
      <c r="D25" s="11">
        <v>40015</v>
      </c>
      <c r="E25" s="11" t="s">
        <v>42</v>
      </c>
      <c r="F25" s="11" t="s">
        <v>72</v>
      </c>
      <c r="G25" s="11">
        <v>1</v>
      </c>
      <c r="H25" s="11">
        <v>113</v>
      </c>
      <c r="I25" s="11">
        <v>1</v>
      </c>
    </row>
    <row r="26" spans="1:9" x14ac:dyDescent="0.25">
      <c r="A26" s="11" t="s">
        <v>76</v>
      </c>
      <c r="B26" s="11">
        <v>40000</v>
      </c>
      <c r="C26" s="11">
        <f>40013</f>
        <v>40013</v>
      </c>
      <c r="D26" s="11">
        <v>40015</v>
      </c>
      <c r="E26" s="11" t="s">
        <v>42</v>
      </c>
      <c r="F26" s="11" t="s">
        <v>72</v>
      </c>
      <c r="G26" s="11">
        <v>1</v>
      </c>
      <c r="H26" s="11">
        <v>269</v>
      </c>
      <c r="I26" s="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7B08-DD41-47B7-9991-A5B2087F8197}">
  <dimension ref="A1:D26"/>
  <sheetViews>
    <sheetView workbookViewId="0">
      <selection activeCell="C14" sqref="C14"/>
    </sheetView>
  </sheetViews>
  <sheetFormatPr defaultRowHeight="15" x14ac:dyDescent="0.25"/>
  <cols>
    <col min="1" max="1" width="3.5703125" bestFit="1" customWidth="1"/>
    <col min="2" max="2" width="10.5703125" bestFit="1" customWidth="1"/>
    <col min="3" max="3" width="12.42578125" bestFit="1" customWidth="1"/>
    <col min="4" max="4" width="15.7109375" bestFit="1" customWidth="1"/>
  </cols>
  <sheetData>
    <row r="1" spans="1:4" x14ac:dyDescent="0.25">
      <c r="A1" s="18" t="s">
        <v>44</v>
      </c>
      <c r="B1" s="16" t="s">
        <v>45</v>
      </c>
      <c r="C1" s="16" t="s">
        <v>46</v>
      </c>
      <c r="D1" s="16" t="s">
        <v>47</v>
      </c>
    </row>
    <row r="2" spans="1:4" x14ac:dyDescent="0.25">
      <c r="A2" s="19">
        <v>1</v>
      </c>
      <c r="B2" s="11" t="s">
        <v>97</v>
      </c>
      <c r="C2" s="11" t="s">
        <v>73</v>
      </c>
      <c r="D2" s="20">
        <v>74</v>
      </c>
    </row>
    <row r="3" spans="1:4" x14ac:dyDescent="0.25">
      <c r="A3" s="19">
        <v>2</v>
      </c>
      <c r="B3" s="11" t="s">
        <v>98</v>
      </c>
      <c r="C3" s="11" t="s">
        <v>73</v>
      </c>
      <c r="D3" s="20">
        <v>74</v>
      </c>
    </row>
    <row r="4" spans="1:4" x14ac:dyDescent="0.25">
      <c r="A4" s="19">
        <v>3</v>
      </c>
      <c r="B4" s="11" t="s">
        <v>99</v>
      </c>
      <c r="C4" s="11" t="s">
        <v>73</v>
      </c>
      <c r="D4" s="20">
        <v>69</v>
      </c>
    </row>
    <row r="5" spans="1:4" x14ac:dyDescent="0.25">
      <c r="A5" s="19">
        <v>4</v>
      </c>
      <c r="B5" s="11" t="s">
        <v>100</v>
      </c>
      <c r="C5" s="11" t="s">
        <v>73</v>
      </c>
      <c r="D5" s="20">
        <v>69</v>
      </c>
    </row>
    <row r="6" spans="1:4" x14ac:dyDescent="0.25">
      <c r="A6" s="19">
        <v>5</v>
      </c>
      <c r="B6" s="11" t="s">
        <v>101</v>
      </c>
      <c r="C6" s="11" t="s">
        <v>73</v>
      </c>
      <c r="D6" s="20">
        <v>740</v>
      </c>
    </row>
    <row r="7" spans="1:4" x14ac:dyDescent="0.25">
      <c r="A7" s="19">
        <v>6</v>
      </c>
      <c r="B7" s="11" t="s">
        <v>102</v>
      </c>
      <c r="C7" s="11" t="s">
        <v>74</v>
      </c>
      <c r="D7" s="20">
        <v>75</v>
      </c>
    </row>
    <row r="8" spans="1:4" x14ac:dyDescent="0.25">
      <c r="A8" s="19">
        <v>7</v>
      </c>
      <c r="B8" s="11" t="s">
        <v>103</v>
      </c>
      <c r="C8" s="11" t="s">
        <v>75</v>
      </c>
      <c r="D8" s="20">
        <v>1003</v>
      </c>
    </row>
    <row r="9" spans="1:4" x14ac:dyDescent="0.25">
      <c r="A9" s="19">
        <v>8</v>
      </c>
      <c r="B9" s="11" t="s">
        <v>104</v>
      </c>
      <c r="C9" s="11" t="s">
        <v>75</v>
      </c>
      <c r="D9" s="20">
        <v>1003</v>
      </c>
    </row>
    <row r="10" spans="1:4" x14ac:dyDescent="0.25">
      <c r="A10" s="19">
        <v>9</v>
      </c>
      <c r="B10" s="11" t="s">
        <v>105</v>
      </c>
      <c r="C10" s="11" t="s">
        <v>75</v>
      </c>
      <c r="D10" s="20">
        <v>1003</v>
      </c>
    </row>
    <row r="11" spans="1:4" x14ac:dyDescent="0.25">
      <c r="A11" s="19">
        <v>10</v>
      </c>
      <c r="B11" s="11" t="s">
        <v>106</v>
      </c>
      <c r="C11" s="11" t="s">
        <v>75</v>
      </c>
      <c r="D11" s="20">
        <v>1003</v>
      </c>
    </row>
    <row r="12" spans="1:4" x14ac:dyDescent="0.25">
      <c r="A12" s="19">
        <v>11</v>
      </c>
      <c r="B12" s="11" t="s">
        <v>107</v>
      </c>
      <c r="C12" s="11" t="s">
        <v>75</v>
      </c>
      <c r="D12" s="20">
        <v>1003</v>
      </c>
    </row>
    <row r="13" spans="1:4" x14ac:dyDescent="0.25">
      <c r="A13" s="19">
        <v>12</v>
      </c>
      <c r="B13" s="11" t="s">
        <v>108</v>
      </c>
      <c r="C13" s="11" t="s">
        <v>75</v>
      </c>
      <c r="D13" s="20">
        <v>1000</v>
      </c>
    </row>
    <row r="14" spans="1:4" x14ac:dyDescent="0.25">
      <c r="A14" s="19">
        <v>13</v>
      </c>
      <c r="B14" s="11" t="s">
        <v>109</v>
      </c>
      <c r="C14" s="11" t="s">
        <v>76</v>
      </c>
      <c r="D14" s="20">
        <v>267</v>
      </c>
    </row>
    <row r="15" spans="1:4" x14ac:dyDescent="0.25">
      <c r="A15" s="19">
        <v>14</v>
      </c>
      <c r="B15" s="11" t="s">
        <v>109</v>
      </c>
      <c r="C15" s="11" t="s">
        <v>76</v>
      </c>
      <c r="D15" s="20">
        <v>267</v>
      </c>
    </row>
    <row r="16" spans="1:4" x14ac:dyDescent="0.25">
      <c r="A16" s="19">
        <v>15</v>
      </c>
      <c r="B16" s="11" t="s">
        <v>109</v>
      </c>
      <c r="C16" s="11" t="s">
        <v>76</v>
      </c>
      <c r="D16" s="20">
        <v>267</v>
      </c>
    </row>
    <row r="17" spans="1:4" x14ac:dyDescent="0.25">
      <c r="A17" s="19">
        <v>16</v>
      </c>
      <c r="B17" s="11" t="s">
        <v>110</v>
      </c>
      <c r="C17" s="11" t="s">
        <v>76</v>
      </c>
      <c r="D17" s="20">
        <v>270</v>
      </c>
    </row>
    <row r="18" spans="1:4" x14ac:dyDescent="0.25">
      <c r="A18" s="19">
        <v>17</v>
      </c>
      <c r="B18" s="11" t="s">
        <v>111</v>
      </c>
      <c r="C18" s="11" t="s">
        <v>76</v>
      </c>
      <c r="D18" s="20">
        <v>308</v>
      </c>
    </row>
    <row r="19" spans="1:4" x14ac:dyDescent="0.25">
      <c r="A19" s="19">
        <v>18</v>
      </c>
      <c r="B19" s="11" t="s">
        <v>112</v>
      </c>
      <c r="C19" s="11" t="s">
        <v>74</v>
      </c>
      <c r="D19" s="20">
        <v>118</v>
      </c>
    </row>
    <row r="20" spans="1:4" x14ac:dyDescent="0.25">
      <c r="A20" s="19">
        <v>19</v>
      </c>
      <c r="B20" s="11" t="s">
        <v>113</v>
      </c>
      <c r="C20" s="11" t="s">
        <v>74</v>
      </c>
      <c r="D20" s="20">
        <v>209</v>
      </c>
    </row>
    <row r="21" spans="1:4" x14ac:dyDescent="0.25">
      <c r="A21" s="19">
        <v>20</v>
      </c>
      <c r="B21" s="11" t="s">
        <v>114</v>
      </c>
      <c r="C21" s="11" t="s">
        <v>74</v>
      </c>
      <c r="D21" s="20">
        <v>336</v>
      </c>
    </row>
    <row r="22" spans="1:4" x14ac:dyDescent="0.25">
      <c r="A22" s="19">
        <v>21</v>
      </c>
      <c r="B22" s="11" t="s">
        <v>115</v>
      </c>
      <c r="C22" s="11" t="s">
        <v>74</v>
      </c>
      <c r="D22" s="20">
        <v>209</v>
      </c>
    </row>
    <row r="23" spans="1:4" x14ac:dyDescent="0.25">
      <c r="A23" s="19">
        <v>22</v>
      </c>
      <c r="B23" s="11" t="s">
        <v>116</v>
      </c>
      <c r="C23" s="11" t="s">
        <v>74</v>
      </c>
      <c r="D23" s="20">
        <v>336</v>
      </c>
    </row>
    <row r="24" spans="1:4" x14ac:dyDescent="0.25">
      <c r="A24" s="19">
        <v>23</v>
      </c>
      <c r="B24" s="11" t="s">
        <v>117</v>
      </c>
      <c r="C24" s="11" t="s">
        <v>74</v>
      </c>
      <c r="D24" s="20">
        <v>209</v>
      </c>
    </row>
    <row r="25" spans="1:4" x14ac:dyDescent="0.25">
      <c r="A25" s="19">
        <v>24</v>
      </c>
      <c r="B25" s="11" t="s">
        <v>118</v>
      </c>
      <c r="C25" s="11" t="s">
        <v>74</v>
      </c>
      <c r="D25" s="20">
        <v>336</v>
      </c>
    </row>
    <row r="26" spans="1:4" x14ac:dyDescent="0.25">
      <c r="A26" s="19">
        <v>25</v>
      </c>
      <c r="B26" s="11" t="s">
        <v>119</v>
      </c>
      <c r="C26" s="11" t="s">
        <v>74</v>
      </c>
      <c r="D26" s="20">
        <v>260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Advice</vt:lpstr>
      <vt:lpstr>Mock_Forecast</vt:lpstr>
      <vt:lpstr>Procurement_Order</vt:lpstr>
      <vt:lpstr>ETA_Material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Shabrina Aulia</dc:creator>
  <cp:lastModifiedBy>Shabrina Aulia</cp:lastModifiedBy>
  <dcterms:created xsi:type="dcterms:W3CDTF">2025-12-29T05:21:38Z</dcterms:created>
  <dcterms:modified xsi:type="dcterms:W3CDTF">2025-12-29T07:40:31Z</dcterms:modified>
</cp:coreProperties>
</file>